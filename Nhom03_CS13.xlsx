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Lab cs 12\Cs13\"/>
    </mc:Choice>
  </mc:AlternateContent>
  <xr:revisionPtr revIDLastSave="0" documentId="13_ncr:1_{990BE740-F31A-4D68-8D8D-AF99F42D1D59}" xr6:coauthVersionLast="47" xr6:coauthVersionMax="47" xr10:uidLastSave="{00000000-0000-0000-0000-000000000000}"/>
  <bookViews>
    <workbookView xWindow="690" yWindow="7815" windowWidth="28800" windowHeight="15495"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M8" i="4"/>
  <c r="J8" i="4"/>
  <c r="K8" i="4" s="1"/>
  <c r="L8" i="4" s="1"/>
  <c r="M7" i="4"/>
  <c r="J7" i="4"/>
  <c r="K7" i="4" s="1"/>
  <c r="L7" i="4" s="1"/>
  <c r="M6" i="4"/>
  <c r="B7" i="8" s="1"/>
  <c r="C7" i="8" s="1"/>
  <c r="J6" i="4"/>
  <c r="K6" i="4" s="1"/>
  <c r="L6" i="4" s="1"/>
  <c r="J5" i="4"/>
  <c r="K5" i="4" s="1"/>
  <c r="L5" i="4" s="1"/>
  <c r="O14" i="3"/>
  <c r="M14" i="3"/>
  <c r="N14" i="3" s="1"/>
  <c r="O13" i="3"/>
  <c r="M13" i="3"/>
  <c r="N13" i="3" s="1"/>
  <c r="O12" i="3"/>
  <c r="M12" i="3"/>
  <c r="N12" i="3" s="1"/>
  <c r="O11" i="3"/>
  <c r="M11" i="3"/>
  <c r="N11" i="3" s="1"/>
  <c r="O10" i="3"/>
  <c r="M10" i="3"/>
  <c r="O9" i="3"/>
  <c r="M9" i="3"/>
  <c r="O8" i="3"/>
  <c r="M8" i="3"/>
  <c r="O7" i="3"/>
  <c r="M7" i="3"/>
  <c r="O6" i="3"/>
  <c r="M6" i="3"/>
  <c r="O5" i="3"/>
  <c r="B6" i="8" s="1"/>
  <c r="M5" i="3"/>
  <c r="B12" i="2"/>
  <c r="B11" i="8" l="1"/>
  <c r="C11" i="8" s="1"/>
  <c r="N8" i="3"/>
  <c r="N7" i="3"/>
  <c r="N10" i="3"/>
  <c r="N6" i="3"/>
  <c r="N9" i="3"/>
  <c r="B5" i="8"/>
  <c r="N5" i="3"/>
  <c r="B12" i="8"/>
  <c r="C12" i="8" s="1"/>
  <c r="C5" i="8" l="1"/>
  <c r="C6" i="8"/>
</calcChain>
</file>

<file path=xl/sharedStrings.xml><?xml version="1.0" encoding="utf-8"?>
<sst xmlns="http://schemas.openxmlformats.org/spreadsheetml/2006/main" count="304" uniqueCount="289">
  <si>
    <t>CS13 · Lộ trình sản phẩm AI — File thực hành · Đề 3 · RaViện</t>
  </si>
  <si>
    <t>AI in Action · Track 1 · Khóa 4. FILE LÀM BÀI CỦA NHÓM · Đề 3 · RaViện.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</si>
  <si>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</si>
  <si>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</si>
  <si>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3.</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</si>
  <si>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</si>
  <si>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</si>
  <si>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</si>
  <si>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</si>
  <si>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</si>
  <si>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</si>
  <si>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3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</si>
  <si>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</si>
  <si>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</si>
  <si>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</si>
  <si>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</si>
  <si>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</si>
  <si>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</si>
  <si>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</si>
  <si>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</si>
  <si>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</si>
  <si>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</si>
  <si>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DT 15 tr/tháng, 1.200 việc/khoa. Chi phí AI+HT 4.168đ, DS duyệt 3p=7.500đ/ca. Hết tiền ở tháng 9.</t>
  </si>
  <si>
    <t>Bối cảnh, sản phẩm, "1 việc" là gì</t>
  </si>
  <si>
    <t>Giả thuyết và chỉ số ở trang 1</t>
  </si>
  <si>
    <t>Viết giả thuyết theo đúng "1 việc" của đề</t>
  </si>
  <si>
    <t>1 việc = 1 bản nháp tóm tắt ra viện cho 1 người bệnh. Khoa nội 40 ca/ngày, BS mất 15-20p/ca.</t>
  </si>
  <si>
    <t>6 việc gợi ý</t>
  </si>
  <si>
    <t>Trang 1, cột B–C; nhóm được thêm việc của mình</t>
  </si>
  <si>
    <t>Giữ, bỏ hay đổi thứ tự đều phải ghi lý do ở cột Q</t>
  </si>
  <si>
    <t>Tập trung sửa lỗi insulin (thuốc ra viện) và soạn nháp diễn biến; hoãn mã hóa BHYT vì BV đã có phần mềm.</t>
  </si>
  <si>
    <t>Kết quả đánh giá đã có (bộ đề, cổng phát hành)</t>
  </si>
  <si>
    <t>Cổng đánh giá ở trang 2; việc cần làm trước ở trang 3</t>
  </si>
  <si>
    <t>Đề 2, 3: kết luận chưa phải "Phát hành" → có việc phải làm trước</t>
  </si>
  <si>
    <t>Chưa phát hành do 1 lỗi nghiêm trọng liều insulin. Cần thêm 5 ca test insulin, 0 lỗi mới thử nghiệm.</t>
  </si>
  <si>
    <t>Chuyên gia và số giờ của họ</t>
  </si>
  <si>
    <t>Dòng "Điều kiện cần" ở trang 3; ô "Cần gì" ở trang 5</t>
  </si>
  <si>
    <t>Dẫn đúng số giờ trong hồ sơ</t>
  </si>
  <si>
    <t>BS. Phương (18 năm kn), DS. Hải (7 năm kn). 20,3 giờ/vòng chấm 40 hồ sơ. Tách thuốc cho DS Hải chấm.</t>
  </si>
  <si>
    <t>Gợi ý về người duyệt và mức tự động</t>
  </si>
  <si>
    <t>Trang 2, cột H và I</t>
  </si>
  <si>
    <t>Đề 3: bác sĩ của bệnh viện không tính vào chi phí</t>
  </si>
  <si>
    <t>BS bệnh viện luôn đọc &amp; ký (0đ chi phí cty). Cty trả tiền DS Hải duyệt thuốc. Mức 3 không làm (an toàn y tế).</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</si>
  <si>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</si>
  <si>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</si>
  <si>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</si>
  <si>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</si>
  <si>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</si>
  <si>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</si>
  <si>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</si>
  <si>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</si>
  <si>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</si>
  <si>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</si>
  <si>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</si>
  <si>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</si>
  <si>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</si>
  <si>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</si>
  <si>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</si>
  <si>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</si>
  <si>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</si>
  <si>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</si>
  <si>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</si>
  <si>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</si>
  <si>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</si>
  <si>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Đối chiếu thuốc ra viện với y lệnh cuối</t>
  </si>
  <si>
    <t>Không sai thuốc khi ra viện</t>
  </si>
  <si>
    <t>Ta tin rằng việc tự động đối chiếu thuốc ra viện với y lệnh cuối và lịch sử dùng thuốc sẽ giúp ngăn ngừa sai sót liều dùng (như sự cố insulin); biết đúng khi 0 lỗi nghiêm trọng về thuốc.</t>
  </si>
  <si>
    <t>Tỷ lệ phát hiện sai lệch thuốc đạt &gt;= 99%, 0 lỗi nghiêm trọng trên bộ đề 45 ca (đã thêm 5 ca insulin).</t>
  </si>
  <si>
    <t>Tự làm</t>
  </si>
  <si>
    <t>Ưu tiên số 1 vì đây là chốt chặn an toàn sống còn để sửa dứt điểm lỗi insulin và qua cổng phát hành thử nghiệm.</t>
  </si>
  <si>
    <t>Soạn nháp diễn biến và chẩn đoán từ hồ sơ</t>
  </si>
  <si>
    <t>Bác sĩ bớt 2/3 thời gian viết tóm tắt</t>
  </si>
  <si>
    <t>Ta tin rằng tự động tổng hợp diễn biến bệnh và cận lâm sàng thành bản nháp chuẩn mẫu sẽ giúp bác sĩ giảm 2/3 thời gian viết; biết đúng khi thời gian hoàn thiện tóm tắt giảm mạnh.</t>
  </si>
  <si>
    <t>Giảm thời gian viết từ 18 phút xuống dưới 6 phút/ca (giảm &gt;= 65%), tỷ lệ bác sĩ phải sửa nhiều dưới 20%.</t>
  </si>
  <si>
    <t>Tính năng cốt lõi tạo giá trị chính của sản phẩm, triển khai ngay sau khi giải quyết xong chốt chặn an toàn thuốc.</t>
  </si>
  <si>
    <t>Đánh dấu hồ sơ mâu thuẫn cho bác sĩ</t>
  </si>
  <si>
    <t>Ca khó không bị viết như ca thường</t>
  </si>
  <si>
    <t>Ta tin rằng gắn cờ các ca có diễn biến phức tạp hoặc xét nghiệm bất thường sẽ giúp bác sĩ tập trung kiểm tra sâu; biết đúng khi không bỏ sót ca khó và tỷ lệ cờ giả ở mức thấp.</t>
  </si>
  <si>
    <t>Độ nhạy phát hiện ca mâu thuẫn đạt &gt;= 95%, tỷ lệ gắn cờ thừa (cờ giả) dưới 15% trên 500 ca thử nghiệm.</t>
  </si>
  <si>
    <t>Triển khai ở pha Tiếp theo (3-6 tháng) để nâng cao độ chính xác cho ca phức tạp khi ca thường đã vận hành ổn định.</t>
  </si>
  <si>
    <t>Lời dặn dễ hiểu cho người bệnh</t>
  </si>
  <si>
    <t>Người bệnh làm đúng lời dặn</t>
  </si>
  <si>
    <t>Ta tin rằng chuyển đổi chỉ dẫn y khoa sang ngôn từ bình dân, trực quan sẽ giúp bệnh nhân tuân thủ đúng điều trị tại nhà; biết đúng khi bệnh nhân hiểu và làm đúng theo khảo sát.</t>
  </si>
  <si>
    <t>Tỷ lệ bệnh nhân hiểu đúng 100% lời dặn đạt &gt;= 90%, giảm 50% cuộc gọi thắc mắc sau khi ra viện.</t>
  </si>
  <si>
    <t>Triển khai ở pha Tiếp theo (3-6 tháng) giúp nâng cao mức độ hài lòng của người bệnh và giá trị thặng dư cho bệnh viện.</t>
  </si>
  <si>
    <t>Tóm tắt hồ sơ khi chuyển khoa</t>
  </si>
  <si>
    <t>Khoa nhận nắm ca nhanh hơn</t>
  </si>
  <si>
    <t>Ta tin rằng tóm tắt cô đọng tình trạng cấp thời khi chuyển khoa sẽ giúp bác sĩ khoa nhận nắm bắt ca bệnh dưới 3 phút; biết đúng khi thời gian bàn giao ca bệnh giảm rõ rệt.</t>
  </si>
  <si>
    <t>Giảm 60% thời gian bác sĩ khoa nhận đọc hồ sơ bàn giao, tỷ lệ thông tin chuyển giao chính xác đạt &gt;= 95%.</t>
  </si>
  <si>
    <t>Chờ</t>
  </si>
  <si>
    <t>Chờ xây dựng xong bộ đề chuyển khoa và chuẩn hóa luồng dữ liệu liên khoa (dự kiến đưa vào lộ trình Sau này 6-12 tháng).</t>
  </si>
  <si>
    <t>Mã hoá bệnh cho thanh toán bảo hiểm</t>
  </si>
  <si>
    <t>Bớt giờ của phòng kế hoạch</t>
  </si>
  <si>
    <t>Ta tin rằng tự động gợi ý mã ICD-10 từ hồ sơ sẽ giúp phòng kế hoạch tổng hợp giảm thời gian đối soát BHYT; biết đúng khi tỷ lệ mã hóa đúng đạt yêu cầu thanh toán bảo hiểm.</t>
  </si>
  <si>
    <t>Tỷ lệ mã hóa ICD-10 chính xác đạt &gt;= 95%, giảm 40% giờ rà soát của phòng kế hoạch trên 1.000 hồ sơ thanh toán.</t>
  </si>
  <si>
    <t>Không làm</t>
  </si>
  <si>
    <t>Không làm vì bệnh viện đã có sẵn phần mềm chuyên dụng mã hoá bệnh bảo hiểm (rủi ro bị nuốt 0.9), tránh lãng phí nguồn lực.</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</si>
  <si>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</si>
  <si>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</si>
  <si>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</si>
  <si>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</si>
  <si>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</si>
  <si>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</si>
  <si>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</si>
  <si>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</si>
  <si>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</si>
  <si>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</si>
  <si>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</si>
  <si>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</si>
  <si>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</si>
  <si>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</si>
  <si>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</si>
  <si>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</si>
  <si>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Trích xuất dữ liệu bệnh án, soạn nháp diễn biến và đối chiếu thuốc ban đầu trong môi trường thử nghiệm nội bộ.</t>
  </si>
  <si>
    <t>Dược sĩ kiểm tra 100% đơn thuốc và liều; BS. Phương và DS. Hải chấm bộ đề 40 ca; Bác sĩ bệnh viện đọc và ký 100%.</t>
  </si>
  <si>
    <t>Tỷ lệ đạt &gt;= 95% trên bộ đề 40 ca, 0 lỗi nghiêm trọng (chạy thêm 5 ca test insulin đạt 0 lỗi), Kappa &gt;= 0.80.</t>
  </si>
  <si>
    <t>Mẫu hồ sơ bệnh án khoa nội, máy chủ nội bộ bệnh viện (on-premise), tuân thủ Luật TTNT số 134/2025/QH15 và Luật Khám chữa bệnh.</t>
  </si>
  <si>
    <t>Tháng 1</t>
  </si>
  <si>
    <t>Người của mình</t>
  </si>
  <si>
    <t>Hỗ trợ có duyệt</t>
  </si>
  <si>
    <t>Tự động tạo bản nháp tóm tắt đầy đủ (diễn biến, chẩn đoán, thuốc, lời dặn), tự động gắn cờ các ca phức tạp hoặc sai lệch thuốc.</t>
  </si>
  <si>
    <t>Dược sĩ của mình kiểm tra các ca gắn cờ và lấy mẫu ngẫu nhiên (tổng 50% số ca); Bác sĩ điều trị luôn đọc, sửa và ký số 100%.</t>
  </si>
  <si>
    <t>Tỷ lệ đạt quy về thực tế &gt;= 96%, 0 lỗi nghiêm trọng về thuốc trên mẫu 200 ca thử nghiệm đầu tiên, tỷ lệ bác sĩ sửa nhiều &lt; 25% trên 1.200 ca.</t>
  </si>
  <si>
    <t>Kết nối API HIS bệnh viện mã hóa VPN; dán nhãn thông báo hệ thống hỗ trợ AI theo Luật TTNT 134/2025/QH15.</t>
  </si>
  <si>
    <t>Tháng 2–3</t>
  </si>
  <si>
    <t>Tự động một phần</t>
  </si>
  <si>
    <t>Tự động tạo nháp hoàn chỉnh, đối chiếu chéo thuốc với Dược thư quốc gia; tự động gắn cờ 100% ca nghi ngờ tương tác thuốc/liều.</t>
  </si>
  <si>
    <t>Dược sĩ chỉ duyệt các ca AI gắn cờ nghi ngờ + mẫu kiểm tra định kỳ (tổng 10% số việc); Bác sĩ điều trị luôn đọc, sửa và ký 100%.</t>
  </si>
  <si>
    <t>Đạt 0 lỗi nghiêm trọng lọt đến bác sĩ trong 3 tháng liên tiếp; tỷ lệ bác sĩ sửa nhiều &lt; 15% trên 3.600 ca; Kappa dược sĩ &gt;= 0.85 trên 100 ca đối chứng.</t>
  </si>
  <si>
    <t>Cơ sở dữ liệu Dược thư quốc gia tích hợp HIS; hệ thống nhật ký truy vết (audit trail) 100% thao tác lưu 5 năm theo quy định Bộ Y tế.</t>
  </si>
  <si>
    <t>Tháng 4–6</t>
  </si>
  <si>
    <t>Tự động có giám sát</t>
  </si>
  <si>
    <t>Không làm (Ngành y tế không cho phép máy tự động gửi tóm tắt ra viện mà không có bác sĩ điều trị đọc và ký xác nhận pháp lý).</t>
  </si>
  <si>
    <t>Bác sĩ điều trị luôn bắt buộc phải đọc, chỉnh sửa và ký tên 100% bản nháp theo quy định của Luật Khám bệnh chữa bệnh.</t>
  </si>
  <si>
    <t>Không mở mức này vì rủi ro an toàn người bệnh; duy trì chốt chặn bác sĩ ký duyệt 100% trên toàn bộ 1.200 ca mỗi tháng.</t>
  </si>
  <si>
    <t>Tuân thủ phân loại hệ thống AI rủi ro cao theo Luật TTNT số 134/2025/QH15 và quy định pháp lý về bệnh án điện tử Bộ Y tế.</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</si>
  <si>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</si>
  <si>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</si>
  <si>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</si>
  <si>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</si>
  <si>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</si>
  <si>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</si>
  <si>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</si>
  <si>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</si>
  <si>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</si>
  <si>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</si>
  <si>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</si>
  <si>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</si>
  <si>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</si>
  <si>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</si>
  <si>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Tỷ lệ bản nháp bác sĩ phải sửa nhiều: quá 30% thì bác sĩ bỏ dùng</t>
  </si>
  <si>
    <t>dòng 7</t>
  </si>
  <si>
    <t>Điều kiện dừng đã chọn (theo đề)</t>
  </si>
  <si>
    <t>Hết tháng 3 thử nghiệm: bác sĩ phải sửa nhiều trên 30% bản nháp, hoặc có 1 lỗi thuốc lọt đến người bệnh, THÌ dừng, không mở sang khoa khác</t>
  </si>
  <si>
    <t>dòng 8</t>
  </si>
  <si>
    <t>Kịch bản xấu hết tiền ở tháng</t>
  </si>
  <si>
    <t>dòng 9</t>
  </si>
  <si>
    <t>Ghi chú: bác sĩ của bệnh viện luôn đọc và ký, không tính vào chi phí của mình. Người duyệt của mình là dược sĩ kiểm tra phần thuốc. Mức 3 có thể ghi "Không làm".</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</si>
  <si>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</si>
  <si>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</si>
  <si>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</si>
  <si>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</si>
  <si>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</si>
  <si>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</si>
  <si>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</si>
  <si>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Sửa dứt điểm lỗi insulin; hoàn thiện đối chiếu thuốc ra viện với y lệnh cuối (Việc 1) và soạn nháp tóm tắt diễn biến ca thường cho khoa nội (Việc 2).</t>
  </si>
  <si>
    <t>Tích hợp tính năng đánh dấu hồ sơ mâu thuẫn cho bác sĩ (Việc 3) và sinh lời dặn dò dễ hiểu cho người bệnh (Việc 4); mở rộng sang khoa nội tim mạch và nội tiết.</t>
  </si>
  <si>
    <t>Nghiên cứu tóm tắt hồ sơ khi chuyển khoa (Việc 5) sau khi xây dựng xong bộ đề chuẩn; tích hợp trợ lý hỗ trợ kế hoạch theo dõi bệnh mạn tính ngoại trú.</t>
  </si>
  <si>
    <t>Giả thuyết</t>
  </si>
  <si>
    <t>Ta tin rằng xử lý 100% lỗi thuốc và tự động soạn nháp sẽ giúp bác sĩ giảm 65% thời gian viết mà không gây rủi ro; biết đúng khi 0 lỗi thuốc và bác sĩ dùng hàng ngày.</t>
  </si>
  <si>
    <t>Ta tin rằng gắn cờ ca mâu thuẫn và diễn giải lời dặn dễ hiểu sẽ giúp giảm sai sót ca khó và tăng 30% mức độ tuân thủ điều trị của bệnh nhân sau ra viện.</t>
  </si>
  <si>
    <t>Ta tin rằng tóm tắt chuyển khoa liên khoa sẽ rút ngắn 60% thời gian bàn giao ca bệnh giữa các khoa điều trị nội trú trong toàn bệnh viện.</t>
  </si>
  <si>
    <t>Thời gian viết tóm tắt giảm từ 18 phút xuống dưới 6 phút/ca; tỷ lệ bác sĩ phải sửa nhiều dưới 20%; 0 lỗi nghiêm trọng về thuốc trên 1.200 ca/tháng.</t>
  </si>
  <si>
    <t>Tỷ lệ bác sĩ sửa nhiều giảm xuống dưới 12%; độ nhạy gắn cờ ca khó đạt &gt;= 95%; tỷ lệ bệnh nhân hiểu đúng lời dặn đạt &gt;= 90%.</t>
  </si>
  <si>
    <t>Thời gian bàn giao hồ sơ chuyển khoa giảm còn dưới 3 phút/ca; tỷ lệ thông tin chuyển giao đầy đủ đạt &gt;= 95%.</t>
  </si>
  <si>
    <t>Mức tự động (trang 2)</t>
  </si>
  <si>
    <t>Mức 1 (Hỗ trợ có duyệt): Dược sĩ công ty duyệt 50% số ca (tập trung ca có thuốc đặc trị/insulin); bác sĩ bệnh viện luôn đọc và ký 100% trước khi phát hành.</t>
  </si>
  <si>
    <t>Mức 2 (Tự động một phần): Dược sĩ chỉ duyệt 10% số ca (các ca AI gắn cờ cảnh báo bất thường); bác sĩ bệnh viện luôn đọc và ký 100%.</t>
  </si>
  <si>
    <t>Duy trì Mức 2 có giám sát nâng cao: Dược sĩ kiểm tra xác suất 5%; bác sĩ luôn là người ký duyệt pháp lý cuối cùng (không bao giờ để AI tự động gửi).</t>
  </si>
  <si>
    <t>Cổng đánh giá</t>
  </si>
  <si>
    <t>Thêm 5 ca test insulin vào bộ đề 40 ca (tổng 45 ca), chạy lại đạt 0 lỗi nghiêm trọng, tỷ lệ đạt &gt;= 96%, Kappa &gt;= 0.85; thử nghiệm 200 ca đầu tiên 0 lỗi thuốc.</t>
  </si>
  <si>
    <t>Chạy bộ đề mở rộng 60 ca (bổ sung 15 ca mâu thuẫn phức tạp) đạt tỷ lệ &gt;= 97%, 0 lỗi thuốc; 3 tháng thử nghiệm liên tiếp tỷ lệ bác sĩ sửa nhiều &lt; 15%.</t>
  </si>
  <si>
    <t>Xây dựng bộ đề chuyển khoa 40 ca đạt tỷ lệ chính xác &gt;= 95%, Kappa bác sĩ liên khoa &gt;= 0.80 trước khi triển khai thử nghiệm diện rộng.</t>
  </si>
  <si>
    <t>Điều kiện cần: dữ liệu / hạ tầng / tuân thủ</t>
  </si>
  <si>
    <t>20,3 giờ chuyên gia (BS. Phương, DS. Hải) chấm bộ đề; máy chủ on-premise tại bệnh viện; tuân thủ Luật TTNT 134/2025/QH15 và bảo mật dữ liệu y tế.</t>
  </si>
  <si>
    <t>Tập dữ liệu 100 ca mâu thuẫn thực tế; tích hợp API Dược thư quốc gia; dán nhãn thông báo hệ thống hỗ trợ AI theo Luật TTNT số 134/2025/QH15.</t>
  </si>
  <si>
    <t>Dữ liệu hồ sơ bệnh án liên khoa chuẩn HL7/FHIR; bộ đề đánh giá chuyển khoa có gắn nhãn chuyên gia; phê duyệt mở rộng từ hội đồng chuyên môn bệnh viện.</t>
  </si>
  <si>
    <t>Căn cứ kinh tế (số liệu của đề và trang 2)</t>
  </si>
  <si>
    <t>DT 15.000.000 đ/tháng/khoa (1.200 việc); Chi phí AI 2.968 đ + HT 1.200 đ + DS duyệt 50% (3.750 đ) = 7.918 đ/việc; Biên LN 36,7%; kiểm soát dòng tiền an toàn đến tháng 9.</t>
  </si>
  <si>
    <t>DT 30.000.000 đ/tháng (2 khoa); DS duyệt giảm còn 10% (750 đ) -&gt; Chi phí giảm xuống 4.918 đ/việc; Biên LN đạt 60,7% (&gt;= 60%), bắt đầu có lãi hoạt động thuần.</t>
  </si>
  <si>
    <t>DT đạt 60.000.000 đ/tháng (4 khoa); Chi phí duy trì dưới 4.543 đ/việc; Biên LN gộp đạt trên 63,7%, hoàn vốn đầu tư ban đầu và có lãi bền vững.</t>
  </si>
  <si>
    <t>Điều kiện dừng / đổi hướng</t>
  </si>
  <si>
    <t>Hết tháng 3 thử nghiệm: bác sĩ phải sửa nhiều trên 30% bản nháp (trên 360 ca), hoặc phát hiện 1 lỗi thuốc lọt đến người bệnh, THÌ dừng ngay, không mở sang khoa khác.</t>
  </si>
  <si>
    <t>Sau 2 tháng triển khai Mức 2, nếu tỷ lệ bác sĩ khiếu nại chất lượng tóm tắt &gt; 15%, hoặc doanh thu bình quân dưới 12 triệu đ/khoa, THÌ dừng mở rộng, quay về hoàn thiện prompt.</t>
  </si>
  <si>
    <t>Nếu bệnh viện không ký hợp đồng chính thức sau 6 tháng thử nghiệm dẫn đến nguy cơ hết tiền ở tháng 9, THÌ dừng dự án hoặc đổi mô hình kinh doanh.</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</si>
  <si>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</si>
  <si>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</si>
  <si>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</si>
  <si>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</si>
  <si>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</si>
  <si>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</si>
  <si>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</si>
  <si>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Tỷ lệ bản nháp bác sĩ phải sửa nhiều (mục tiêu &lt;= 25%); 0 lỗi nghiêm trọng về thuốc trên 600 ca đầu; số ca bác sĩ dùng thử hàng ngày (&gt; 30 ca/ngày).</t>
  </si>
  <si>
    <t>Sửa hoặc đi tiếp: Nếu 0 lỗi thuốc và tỷ lệ sửa &lt; 25% thì tiếp tục thử nghiệm Mức 1; nếu có lỗi thuốc nguy cơ cao thì tạm dừng nháp thuốc để sửa prompt.</t>
  </si>
  <si>
    <t>BS. Phương (Trưởng khoa) và Giám đốc sản phẩm (Product Manager).</t>
  </si>
  <si>
    <t>Ngày 60</t>
  </si>
  <si>
    <t>Thời gian bác sĩ viết tóm tắt (giảm 50-65%); tỷ lệ bác sĩ hài lòng (&gt; 80%); tỷ lệ phát hiện mâu thuẫn y lệnh thuốc; chi phí thực tế/việc (&lt;= 8.000 đ).</t>
  </si>
  <si>
    <t>Sửa hoặc chuẩn bị lên Mức 2: Tinh chỉnh giao diện cảnh báo; bắt đầu giảm tỷ lệ duyệt của dược sĩ từ 50% xuống 20% cho nhóm bệnh mạn tính ổn định.</t>
  </si>
  <si>
    <t>Nhóm sản phẩm (PM + Tech Lead) và BS. Phương.</t>
  </si>
  <si>
    <t>Ngày 90</t>
  </si>
  <si>
    <t>Điều kiện dừng: Tỷ lệ sửa nhiều &gt; 30%? Có lỗi thuốc lọt người bệnh không? Tỷ lệ chấp nhận nháp (&gt; 80%); sự đồng thuận mở rộng sang khoa thứ 2.</t>
  </si>
  <si>
    <t>Chọn 1 trong 4: Đi tiếp lên Mức 2 và mở sang khoa thứ 2; Sửa tiếp nếu tỷ lệ sửa 20-30%; Dừng hẳn nếu vi phạm điều kiện dừng (sửa &gt; 30% hoặc có lỗi thuốc).</t>
  </si>
  <si>
    <t>Ban Giám đốc Bệnh viện và Ban Giám đốc Công ty AI.</t>
  </si>
  <si>
    <t>Có mô hình mới / giá gọi AI giảm mạnh</t>
  </si>
  <si>
    <t>Tỷ lệ đạt trên bộ đề 40 ca của mô hình mới; chi phí token vào/ra và độ trễ phản hồi (latency &lt; 10s); độ nhất quán trích xuất thông tin thuốc.</t>
  </si>
  <si>
    <t>Chạy thử nghiệm song song trên bộ đề chuẩn; nếu chất lượng tương đương và rẻ hơn &gt;= 30% chi phí gọi AI (dưới 2.000 đ/việc) thì chuyển đổi mô hình.</t>
  </si>
  <si>
    <t>Kỹ sư trưởng AI (Tech Lead) và Dược sĩ Hải.</t>
  </si>
  <si>
    <t>Nền tảng hoặc đối thủ ra tính năng tương tự</t>
  </si>
  <si>
    <t>Tính năng của đối thủ có tích hợp sâu vào HIS không? Mức độ chính xác đối chiếu thuốc; phản hồi của bác sĩ bệnh viện đối với tính năng đối thủ.</t>
  </si>
  <si>
    <t>Tập trung vào lợi thế cạnh tranh cốt lõi: đối chiếu an toàn thuốc chuyên sâu kết hợp dược sĩ lâm sàng; không cạnh tranh mã hóa bệnh BHYT đã bị nuốt.</t>
  </si>
  <si>
    <t>Giám đốc sản phẩm (PM) và Ban Giám đốc Công ty.</t>
  </si>
  <si>
    <t>Quy định pháp lý thay đổi</t>
  </si>
  <si>
    <t>Yêu cầu của Luật TTNT số 134/2025/QH15 về hệ thống AI rủi ro cao trong y tế; quy định Bộ Y tế về trách nhiệm pháp lý chữ ký số và bệnh án điện tử.</t>
  </si>
  <si>
    <t>Cập nhật quy trình tuân thủ: bổ sung dán nhãn AI, kiểm toán thuật toán, đảm bảo 100% bản nháp bắt buộc qua bác sĩ ký số pháp lý trước khi lưu bệnh án.</t>
  </si>
  <si>
    <t>Giám đốc Pháp chế / Tuân thủ và Ban Giám đốc Công ty.</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</si>
  <si>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</si>
  <si>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</si>
  <si>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</si>
  <si>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</si>
  <si>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</si>
  <si>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</si>
  <si>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RaViện cam kết giải quyết dứt điểm lỗi thuốc để qua cổng phát hành trong tháng 1, giúp bác sĩ khoa nội giảm 65% thời gian viết tóm tắt và đạt biên lợi nhuận 60,7% ở tháng 4.</t>
  </si>
  <si>
    <t>3 việc chính</t>
  </si>
  <si>
    <t>Tháng 1-3: Đối chiếu thuốc và soạn nháp diễn biến ca thường; Tháng 3-6: Cảnh báo hồ sơ mâu thuẫn và sinh lời dặn người bệnh; Tháng 6-12: Nghiên cứu tóm tắt chuyển khoa liên khoa.</t>
  </si>
  <si>
    <t>Cần gì (người, tiền, dữ liệu)</t>
  </si>
  <si>
    <t>Cần 20,3 giờ chuyên gia (BS. Phương, DS. Hải) chấm bộ đề; 1 kỹ sư AI sửa 5 ca insulin; hạ tầng on-premise tại bệnh viện; ngân sách duy trì an toàn trước mốc hết tiền tháng 9.</t>
  </si>
  <si>
    <t>Rủi ro lớn nhất &amp; cách xử lý</t>
  </si>
  <si>
    <t>Rủi ro lớn nhất là bác sĩ sửa nhiều &gt; 30% dẫn tới bỏ dùng hoặc lọt lỗi thuốc. Xử lý: Dược sĩ kiểm tra 50% số ca ở Mức 1, bác sĩ ký duyệt 100%, dừng mở rộng nếu vi phạm.</t>
  </si>
  <si>
    <t>Khi nào xem lại</t>
  </si>
  <si>
    <t>Rà soát ngày 30 và 60 về tỷ lệ sửa nháp; ngày 90 quyết định đi tiếp lên Mức 2 và mở sang khoa thứ 2 nếu 0 lỗi thuốc và tỷ lệ sửa &lt; 15%; dừng nếu vi phạm điều kiện.</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</si>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</sst>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7109375" defaultRowHeight="15" x14ac:dyDescent="0.25"/>
  <cols>
    <col min="1" max="1" width="120" customWidth="1"/>
  </cols>
  <sheetData>
    <row r="1" spans="1:1" ht="17.25" customHeight="1" x14ac:dyDescent="0.25">
      <c r="A1" s="1" t="s">
        <v>0</v>
      </c>
    </row>
    <row r="2" spans="1:1" ht="15" customHeight="1" x14ac:dyDescent="0.25">
      <c r="A2" s="2" t="s">
        <v>1</v>
      </c>
    </row>
    <row r="4" spans="1:1" ht="15" customHeight="1" x14ac:dyDescent="0.25">
      <c r="A4" t="s">
        <v>2</v>
      </c>
    </row>
    <row r="5" spans="1:1" ht="15" customHeight="1" x14ac:dyDescent="0.25">
      <c r="A5" t="s">
        <v>3</v>
      </c>
    </row>
    <row r="6" spans="1:1" ht="15" customHeight="1" x14ac:dyDescent="0.25">
      <c r="A6" t="s">
        <v>4</v>
      </c>
    </row>
    <row r="7" spans="1:1" ht="15" customHeight="1" x14ac:dyDescent="0.25">
      <c r="A7" t="s">
        <v>5</v>
      </c>
    </row>
    <row r="8" spans="1:1" ht="15" customHeight="1" x14ac:dyDescent="0.25">
      <c r="A8" t="s">
        <v>6</v>
      </c>
    </row>
    <row r="9" spans="1:1" ht="15" customHeight="1" x14ac:dyDescent="0.25">
      <c r="A9" t="s">
        <v>7</v>
      </c>
    </row>
    <row r="11" spans="1:1" ht="15" customHeight="1" x14ac:dyDescent="0.25">
      <c r="A11" t="s">
        <v>8</v>
      </c>
    </row>
    <row r="12" spans="1:1" ht="15" customHeight="1" x14ac:dyDescent="0.25">
      <c r="A12" s="3" t="s">
        <v>9</v>
      </c>
    </row>
    <row r="13" spans="1:1" ht="15" customHeight="1" x14ac:dyDescent="0.25">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1" t="s">
        <v>11</v>
      </c>
    </row>
    <row r="2" spans="1:5" ht="15" customHeight="1" x14ac:dyDescent="0.25">
      <c r="A2" s="2" t="s">
        <v>12</v>
      </c>
    </row>
    <row r="4" spans="1:5" ht="26.25" customHeight="1" x14ac:dyDescent="0.25">
      <c r="A4" s="5" t="s">
        <v>13</v>
      </c>
      <c r="B4" s="5" t="s">
        <v>14</v>
      </c>
      <c r="C4" s="5" t="s">
        <v>15</v>
      </c>
      <c r="D4" s="5" t="s">
        <v>16</v>
      </c>
      <c r="E4" s="5" t="s">
        <v>17</v>
      </c>
    </row>
    <row r="5" spans="1:5" ht="33.75" customHeight="1" x14ac:dyDescent="0.25">
      <c r="A5" s="6" t="s">
        <v>18</v>
      </c>
      <c r="B5" s="7" t="s">
        <v>19</v>
      </c>
      <c r="C5" s="6" t="s">
        <v>20</v>
      </c>
      <c r="D5" s="6" t="s">
        <v>21</v>
      </c>
      <c r="E5" s="7" t="s">
        <v>22</v>
      </c>
    </row>
    <row r="6" spans="1:5" ht="33.75" customHeight="1" x14ac:dyDescent="0.25">
      <c r="A6" s="6" t="s">
        <v>23</v>
      </c>
      <c r="B6" s="7" t="s">
        <v>19</v>
      </c>
      <c r="C6" s="6" t="s">
        <v>24</v>
      </c>
      <c r="D6" s="6" t="s">
        <v>25</v>
      </c>
      <c r="E6" s="7" t="s">
        <v>26</v>
      </c>
    </row>
    <row r="7" spans="1:5" ht="33.75" customHeight="1" x14ac:dyDescent="0.25">
      <c r="A7" s="6" t="s">
        <v>27</v>
      </c>
      <c r="B7" s="7" t="s">
        <v>19</v>
      </c>
      <c r="C7" s="6" t="s">
        <v>28</v>
      </c>
      <c r="D7" s="6" t="s">
        <v>29</v>
      </c>
      <c r="E7" s="7" t="s">
        <v>30</v>
      </c>
    </row>
    <row r="8" spans="1:5" ht="33.75" customHeight="1" x14ac:dyDescent="0.25">
      <c r="A8" s="6" t="s">
        <v>31</v>
      </c>
      <c r="B8" s="7" t="s">
        <v>19</v>
      </c>
      <c r="C8" s="6" t="s">
        <v>32</v>
      </c>
      <c r="D8" s="6" t="s">
        <v>33</v>
      </c>
      <c r="E8" s="7" t="s">
        <v>34</v>
      </c>
    </row>
    <row r="9" spans="1:5" ht="33.75" customHeight="1" x14ac:dyDescent="0.25">
      <c r="A9" s="6" t="s">
        <v>35</v>
      </c>
      <c r="B9" s="7" t="s">
        <v>19</v>
      </c>
      <c r="C9" s="6" t="s">
        <v>36</v>
      </c>
      <c r="D9" s="6" t="s">
        <v>37</v>
      </c>
      <c r="E9" s="7" t="s">
        <v>38</v>
      </c>
    </row>
    <row r="10" spans="1:5" ht="33.75" customHeight="1" x14ac:dyDescent="0.25">
      <c r="A10" s="6" t="s">
        <v>39</v>
      </c>
      <c r="B10" s="7" t="s">
        <v>19</v>
      </c>
      <c r="C10" s="6" t="s">
        <v>40</v>
      </c>
      <c r="D10" s="6" t="s">
        <v>41</v>
      </c>
      <c r="E10" s="7" t="s">
        <v>42</v>
      </c>
    </row>
    <row r="12" spans="1:5" ht="15" customHeight="1" x14ac:dyDescent="0.25">
      <c r="A12" s="8" t="s">
        <v>43</v>
      </c>
      <c r="B12" s="4">
        <f>COUNTIF(B5:B10,"Có")</f>
        <v>6</v>
      </c>
    </row>
    <row r="13" spans="1:5" ht="15" customHeight="1" x14ac:dyDescent="0.25">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7109375" defaultRowHeight="15" x14ac:dyDescent="0.25"/>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25">
      <c r="A1" s="1" t="s">
        <v>45</v>
      </c>
    </row>
    <row r="2" spans="1:17" ht="15" customHeight="1" x14ac:dyDescent="0.25">
      <c r="A2" s="2" t="s">
        <v>46</v>
      </c>
    </row>
    <row r="4" spans="1:17" ht="39" customHeight="1" x14ac:dyDescent="0.25">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34.5" customHeight="1" x14ac:dyDescent="0.25">
      <c r="A5" s="10">
        <v>1</v>
      </c>
      <c r="B5" s="7" t="s">
        <v>64</v>
      </c>
      <c r="C5" s="7" t="s">
        <v>65</v>
      </c>
      <c r="D5" s="7" t="s">
        <v>66</v>
      </c>
      <c r="E5" s="7" t="s">
        <v>67</v>
      </c>
      <c r="F5" s="7">
        <v>5</v>
      </c>
      <c r="G5" s="7">
        <v>5</v>
      </c>
      <c r="H5" s="7">
        <v>0.8</v>
      </c>
      <c r="I5" s="7">
        <v>2</v>
      </c>
      <c r="J5" s="7">
        <v>0.9</v>
      </c>
      <c r="K5" s="7">
        <v>0.9</v>
      </c>
      <c r="L5" s="7">
        <v>0.2</v>
      </c>
      <c r="M5" s="11">
        <f t="shared" ref="M5:M14" si="0">IF(COUNT(F5:L5)&lt;7,"",ROUND(F5*G5*H5/I5*(0.5+0.5*AVERAGE(J5:K5))*(1-0.5*L5),2))</f>
        <v>8.5500000000000007</v>
      </c>
      <c r="N5" s="11">
        <f t="shared" ref="N5:N14" si="1">IF(M5="","",RANK(M5,$M$5:$M$14))</f>
        <v>1</v>
      </c>
      <c r="O5" s="12" t="str">
        <f>IF(B5="","",IF(OR(D5="",E5=""),"Thiếu",IF(SUMPRODUCT(--ISNUMBER(SEARCH({"0","1","2","3","4","5","6","7","8","9"},E5)))&gt;0,"Có","Thiếu")))</f>
        <v>Có</v>
      </c>
      <c r="P5" s="13" t="s">
        <v>68</v>
      </c>
      <c r="Q5" s="13" t="s">
        <v>69</v>
      </c>
    </row>
    <row r="6" spans="1:17" ht="23.25" customHeight="1" x14ac:dyDescent="0.25">
      <c r="A6" s="10">
        <v>2</v>
      </c>
      <c r="B6" s="7" t="s">
        <v>70</v>
      </c>
      <c r="C6" s="7" t="s">
        <v>71</v>
      </c>
      <c r="D6" s="7" t="s">
        <v>72</v>
      </c>
      <c r="E6" s="7" t="s">
        <v>73</v>
      </c>
      <c r="F6" s="7">
        <v>5</v>
      </c>
      <c r="G6" s="7">
        <v>5</v>
      </c>
      <c r="H6" s="7">
        <v>0.8</v>
      </c>
      <c r="I6" s="7">
        <v>3</v>
      </c>
      <c r="J6" s="7">
        <v>0.8</v>
      </c>
      <c r="K6" s="7">
        <v>0.8</v>
      </c>
      <c r="L6" s="7">
        <v>0.3</v>
      </c>
      <c r="M6" s="11">
        <f t="shared" si="0"/>
        <v>5.0999999999999996</v>
      </c>
      <c r="N6" s="11">
        <f t="shared" si="1"/>
        <v>2</v>
      </c>
      <c r="O6" s="12" t="str">
        <f>IF(B6="","",IF(OR(D6="",E6=""),"Thiếu",IF(SUMPRODUCT(--ISNUMBER(SEARCH({"0","1","2","3","4","5","6","7","8","9"},E6)))&gt;0,"Có","Thiếu")))</f>
        <v>Có</v>
      </c>
      <c r="P6" s="13" t="s">
        <v>68</v>
      </c>
      <c r="Q6" s="13" t="s">
        <v>74</v>
      </c>
    </row>
    <row r="7" spans="1:17" ht="23.25" customHeight="1" x14ac:dyDescent="0.25">
      <c r="A7" s="10">
        <v>3</v>
      </c>
      <c r="B7" s="7" t="s">
        <v>75</v>
      </c>
      <c r="C7" s="7" t="s">
        <v>76</v>
      </c>
      <c r="D7" s="7" t="s">
        <v>77</v>
      </c>
      <c r="E7" s="7" t="s">
        <v>78</v>
      </c>
      <c r="F7" s="7">
        <v>3</v>
      </c>
      <c r="G7" s="7">
        <v>4</v>
      </c>
      <c r="H7" s="7">
        <v>0.8</v>
      </c>
      <c r="I7" s="7">
        <v>2</v>
      </c>
      <c r="J7" s="7">
        <v>0.7</v>
      </c>
      <c r="K7" s="7">
        <v>0.8</v>
      </c>
      <c r="L7" s="7">
        <v>0.2</v>
      </c>
      <c r="M7" s="11">
        <f t="shared" si="0"/>
        <v>3.78</v>
      </c>
      <c r="N7" s="11">
        <f t="shared" si="1"/>
        <v>3</v>
      </c>
      <c r="O7" s="12" t="str">
        <f>IF(B7="","",IF(OR(D7="",E7=""),"Thiếu",IF(SUMPRODUCT(--ISNUMBER(SEARCH({"0","1","2","3","4","5","6","7","8","9"},E7)))&gt;0,"Có","Thiếu")))</f>
        <v>Có</v>
      </c>
      <c r="P7" s="13" t="s">
        <v>68</v>
      </c>
      <c r="Q7" s="13" t="s">
        <v>79</v>
      </c>
    </row>
    <row r="8" spans="1:17" ht="23.25" customHeight="1" x14ac:dyDescent="0.25">
      <c r="A8" s="10">
        <v>4</v>
      </c>
      <c r="B8" s="7" t="s">
        <v>80</v>
      </c>
      <c r="C8" s="7" t="s">
        <v>81</v>
      </c>
      <c r="D8" s="7" t="s">
        <v>82</v>
      </c>
      <c r="E8" s="7" t="s">
        <v>83</v>
      </c>
      <c r="F8" s="7">
        <v>4</v>
      </c>
      <c r="G8" s="7">
        <v>3</v>
      </c>
      <c r="H8" s="7">
        <v>0.8</v>
      </c>
      <c r="I8" s="7">
        <v>2</v>
      </c>
      <c r="J8" s="7">
        <v>0.7</v>
      </c>
      <c r="K8" s="7">
        <v>0.7</v>
      </c>
      <c r="L8" s="7">
        <v>0.2</v>
      </c>
      <c r="M8" s="11">
        <f t="shared" si="0"/>
        <v>3.67</v>
      </c>
      <c r="N8" s="11">
        <f t="shared" si="1"/>
        <v>4</v>
      </c>
      <c r="O8" s="12" t="str">
        <f>IF(B8="","",IF(OR(D8="",E8=""),"Thiếu",IF(SUMPRODUCT(--ISNUMBER(SEARCH({"0","1","2","3","4","5","6","7","8","9"},E8)))&gt;0,"Có","Thiếu")))</f>
        <v>Có</v>
      </c>
      <c r="P8" s="13" t="s">
        <v>68</v>
      </c>
      <c r="Q8" s="13" t="s">
        <v>84</v>
      </c>
    </row>
    <row r="9" spans="1:17" ht="23.25" customHeight="1" x14ac:dyDescent="0.25">
      <c r="A9" s="10">
        <v>5</v>
      </c>
      <c r="B9" s="7" t="s">
        <v>85</v>
      </c>
      <c r="C9" s="7" t="s">
        <v>86</v>
      </c>
      <c r="D9" s="7" t="s">
        <v>87</v>
      </c>
      <c r="E9" s="7" t="s">
        <v>88</v>
      </c>
      <c r="F9" s="7">
        <v>2</v>
      </c>
      <c r="G9" s="7">
        <v>3</v>
      </c>
      <c r="H9" s="7">
        <v>0.5</v>
      </c>
      <c r="I9" s="7">
        <v>4</v>
      </c>
      <c r="J9" s="7">
        <v>0.4</v>
      </c>
      <c r="K9" s="7">
        <v>0.3</v>
      </c>
      <c r="L9" s="7">
        <v>0.4</v>
      </c>
      <c r="M9" s="11">
        <f t="shared" si="0"/>
        <v>0.41</v>
      </c>
      <c r="N9" s="11">
        <f t="shared" si="1"/>
        <v>6</v>
      </c>
      <c r="O9" s="12" t="str">
        <f>IF(B9="","",IF(OR(D9="",E9=""),"Thiếu",IF(SUMPRODUCT(--ISNUMBER(SEARCH({"0","1","2","3","4","5","6","7","8","9"},E9)))&gt;0,"Có","Thiếu")))</f>
        <v>Có</v>
      </c>
      <c r="P9" s="13" t="s">
        <v>89</v>
      </c>
      <c r="Q9" s="13" t="s">
        <v>90</v>
      </c>
    </row>
    <row r="10" spans="1:17" ht="23.25" customHeight="1" x14ac:dyDescent="0.25">
      <c r="A10" s="10">
        <v>6</v>
      </c>
      <c r="B10" s="7" t="s">
        <v>91</v>
      </c>
      <c r="C10" s="7" t="s">
        <v>92</v>
      </c>
      <c r="D10" s="7" t="s">
        <v>93</v>
      </c>
      <c r="E10" s="7" t="s">
        <v>94</v>
      </c>
      <c r="F10" s="7">
        <v>5</v>
      </c>
      <c r="G10" s="7">
        <v>3</v>
      </c>
      <c r="H10" s="7">
        <v>0.8</v>
      </c>
      <c r="I10" s="7">
        <v>4</v>
      </c>
      <c r="J10" s="7">
        <v>0.8</v>
      </c>
      <c r="K10" s="7">
        <v>0.8</v>
      </c>
      <c r="L10" s="7">
        <v>0.9</v>
      </c>
      <c r="M10" s="11">
        <f t="shared" si="0"/>
        <v>1.49</v>
      </c>
      <c r="N10" s="11">
        <f t="shared" si="1"/>
        <v>5</v>
      </c>
      <c r="O10" s="12" t="str">
        <f>IF(B10="","",IF(OR(D10="",E10=""),"Thiếu",IF(SUMPRODUCT(--ISNUMBER(SEARCH({"0","1","2","3","4","5","6","7","8","9"},E10)))&gt;0,"Có","Thiếu")))</f>
        <v>Có</v>
      </c>
      <c r="P10" s="13" t="s">
        <v>95</v>
      </c>
      <c r="Q10" s="13" t="s">
        <v>96</v>
      </c>
    </row>
    <row r="11" spans="1:17" ht="15" customHeight="1" x14ac:dyDescent="0.25">
      <c r="A11" s="10">
        <v>7</v>
      </c>
      <c r="B11" s="7"/>
      <c r="C11" s="7"/>
      <c r="D11" s="7"/>
      <c r="E11" s="7"/>
      <c r="F11" s="7"/>
      <c r="G11" s="7"/>
      <c r="H11" s="7"/>
      <c r="I11" s="7"/>
      <c r="J11" s="7"/>
      <c r="K11" s="7"/>
      <c r="L11" s="7"/>
      <c r="M11" s="11" t="str">
        <f t="shared" si="0"/>
        <v/>
      </c>
      <c r="N11" s="11" t="str">
        <f t="shared" si="1"/>
        <v/>
      </c>
      <c r="O11" s="12" t="str">
        <f>IF(B11="","",IF(OR(D11="",E11=""),"Thiếu",IF(SUMPRODUCT(--ISNUMBER(SEARCH({"0","1","2","3","4","5","6","7","8","9"},E11)))&gt;0,"Có","Thiếu")))</f>
        <v/>
      </c>
      <c r="P11" s="13"/>
      <c r="Q11" s="13"/>
    </row>
    <row r="12" spans="1:17" ht="15" customHeight="1" x14ac:dyDescent="0.25">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25">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25">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7109375" defaultRowHeight="15" x14ac:dyDescent="0.25"/>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25">
      <c r="A1" s="1" t="s">
        <v>97</v>
      </c>
    </row>
    <row r="2" spans="1:13" ht="15" customHeight="1" x14ac:dyDescent="0.25">
      <c r="A2" s="2" t="s">
        <v>98</v>
      </c>
    </row>
    <row r="4" spans="1:13" ht="26.25" customHeight="1" x14ac:dyDescent="0.25">
      <c r="A4" s="9" t="s">
        <v>99</v>
      </c>
      <c r="B4" s="9" t="s">
        <v>100</v>
      </c>
      <c r="C4" s="9" t="s">
        <v>101</v>
      </c>
      <c r="D4" s="9" t="s">
        <v>102</v>
      </c>
      <c r="E4" s="9" t="s">
        <v>103</v>
      </c>
      <c r="F4" s="9" t="s">
        <v>104</v>
      </c>
      <c r="G4" s="9" t="s">
        <v>105</v>
      </c>
      <c r="H4" s="9" t="s">
        <v>106</v>
      </c>
      <c r="I4" s="9" t="s">
        <v>107</v>
      </c>
      <c r="J4" s="9" t="s">
        <v>108</v>
      </c>
      <c r="K4" s="9" t="s">
        <v>109</v>
      </c>
      <c r="L4" s="9" t="s">
        <v>110</v>
      </c>
      <c r="M4" s="9" t="s">
        <v>111</v>
      </c>
    </row>
    <row r="5" spans="1:13" ht="48" customHeight="1" x14ac:dyDescent="0.25">
      <c r="A5" s="10">
        <v>0</v>
      </c>
      <c r="B5" s="7" t="s">
        <v>112</v>
      </c>
      <c r="C5" s="7" t="s">
        <v>113</v>
      </c>
      <c r="D5" s="7" t="s">
        <v>114</v>
      </c>
      <c r="E5" s="7" t="s">
        <v>115</v>
      </c>
      <c r="F5" s="7" t="s">
        <v>116</v>
      </c>
      <c r="G5" s="7" t="s">
        <v>117</v>
      </c>
      <c r="H5" s="14">
        <v>1</v>
      </c>
      <c r="I5" s="13" t="s">
        <v>118</v>
      </c>
      <c r="J5" s="15">
        <f>IF(H5="","",$B$12+$B$13+IF(I5="Người của mình",H5*$B$14*$B$15/60,0))</f>
        <v>11668</v>
      </c>
      <c r="K5" s="16">
        <f>IF(J5="","",IFERROR(($B$16-$B$17*J5)/$B$16,""))</f>
        <v>6.6559999999999994E-2</v>
      </c>
      <c r="L5" s="17" t="str">
        <f>IF(K5="","",IF(K5&gt;=0.6,"Đạt","Dưới ngưỡng"))</f>
        <v>Dưới ngưỡng</v>
      </c>
    </row>
    <row r="6" spans="1:13" ht="48" customHeight="1" x14ac:dyDescent="0.25">
      <c r="A6" s="10">
        <v>1</v>
      </c>
      <c r="B6" s="7" t="s">
        <v>119</v>
      </c>
      <c r="C6" s="7" t="s">
        <v>120</v>
      </c>
      <c r="D6" s="7" t="s">
        <v>121</v>
      </c>
      <c r="E6" s="7" t="s">
        <v>122</v>
      </c>
      <c r="F6" s="7" t="s">
        <v>123</v>
      </c>
      <c r="G6" s="7" t="s">
        <v>124</v>
      </c>
      <c r="H6" s="14">
        <v>0.5</v>
      </c>
      <c r="I6" s="13" t="s">
        <v>118</v>
      </c>
      <c r="J6" s="15">
        <f>IF(H6="","",$B$12+$B$13+IF(I6="Người của mình",H6*$B$14*$B$15/60,0))</f>
        <v>7918</v>
      </c>
      <c r="K6" s="16">
        <f>IF(J6="","",IFERROR(($B$16-$B$17*J6)/$B$16,""))</f>
        <v>0.36656</v>
      </c>
      <c r="L6" s="17" t="str">
        <f>IF(K6="","",IF(K6&gt;=0.6,"Đạt","Dưới ngưỡng"))</f>
        <v>Dưới ngưỡng</v>
      </c>
      <c r="M6" s="17" t="str">
        <f>IF(E6="","",IF(SUMPRODUCT(--ISNUMBER(SEARCH({"0","1","2","3","4","5","6","7","8","9"},E6)))&gt;0,"Có","Thiếu"))</f>
        <v>Có</v>
      </c>
    </row>
    <row r="7" spans="1:13" ht="48" customHeight="1" x14ac:dyDescent="0.25">
      <c r="A7" s="10">
        <v>2</v>
      </c>
      <c r="B7" s="7" t="s">
        <v>125</v>
      </c>
      <c r="C7" s="7" t="s">
        <v>126</v>
      </c>
      <c r="D7" s="7" t="s">
        <v>127</v>
      </c>
      <c r="E7" s="7" t="s">
        <v>128</v>
      </c>
      <c r="F7" s="7" t="s">
        <v>129</v>
      </c>
      <c r="G7" s="7" t="s">
        <v>130</v>
      </c>
      <c r="H7" s="14">
        <v>0.1</v>
      </c>
      <c r="I7" s="13" t="s">
        <v>118</v>
      </c>
      <c r="J7" s="15">
        <f>IF(H7="","",$B$12+$B$13+IF(I7="Người của mình",H7*$B$14*$B$15/60,0))</f>
        <v>4918</v>
      </c>
      <c r="K7" s="16">
        <f>IF(J7="","",IFERROR(($B$16-$B$17*J7)/$B$16,""))</f>
        <v>0.60655999999999999</v>
      </c>
      <c r="L7" s="17" t="str">
        <f>IF(K7="","",IF(K7&gt;=0.6,"Đạt","Dưới ngưỡng"))</f>
        <v>Đạt</v>
      </c>
      <c r="M7" s="17" t="str">
        <f>IF(E7="","",IF(SUMPRODUCT(--ISNUMBER(SEARCH({"0","1","2","3","4","5","6","7","8","9"},E7)))&gt;0,"Có","Thiếu"))</f>
        <v>Có</v>
      </c>
    </row>
    <row r="8" spans="1:13" ht="48" customHeight="1" x14ac:dyDescent="0.25">
      <c r="A8" s="10">
        <v>3</v>
      </c>
      <c r="B8" s="7" t="s">
        <v>131</v>
      </c>
      <c r="C8" s="7" t="s">
        <v>132</v>
      </c>
      <c r="D8" s="7" t="s">
        <v>133</v>
      </c>
      <c r="E8" s="7" t="s">
        <v>134</v>
      </c>
      <c r="F8" s="7" t="s">
        <v>135</v>
      </c>
      <c r="G8" s="7" t="s">
        <v>95</v>
      </c>
      <c r="H8" s="14"/>
      <c r="I8" s="13" t="s">
        <v>95</v>
      </c>
      <c r="J8" s="15" t="str">
        <f>IF(H8="","",$B$12+$B$13+IF(I8="Người của mình",H8*$B$14*$B$15/60,0))</f>
        <v/>
      </c>
      <c r="K8" s="16" t="str">
        <f>IF(J8="","",IFERROR(($B$16-$B$17*J8)/$B$16,""))</f>
        <v/>
      </c>
      <c r="L8" s="17" t="str">
        <f>IF(K8="","",IF(K8&gt;=0.6,"Đạt","Dưới ngưỡng"))</f>
        <v/>
      </c>
      <c r="M8" s="17" t="str">
        <f>IF(E8="","",IF(SUMPRODUCT(--ISNUMBER(SEARCH({"0","1","2","3","4","5","6","7","8","9"},E8)))&gt;0,"Có","Thiếu"))</f>
        <v>Có</v>
      </c>
    </row>
    <row r="11" spans="1:13" ht="15" customHeight="1" x14ac:dyDescent="0.25">
      <c r="A11" s="8" t="s">
        <v>136</v>
      </c>
    </row>
    <row r="12" spans="1:13" ht="15" customHeight="1" x14ac:dyDescent="0.25">
      <c r="A12" s="18" t="s">
        <v>137</v>
      </c>
      <c r="B12" s="19">
        <v>2968</v>
      </c>
      <c r="C12" s="20" t="s">
        <v>138</v>
      </c>
    </row>
    <row r="13" spans="1:13" ht="15" customHeight="1" x14ac:dyDescent="0.25">
      <c r="A13" s="18" t="s">
        <v>139</v>
      </c>
      <c r="B13" s="19">
        <v>1200</v>
      </c>
      <c r="C13" s="20" t="s">
        <v>140</v>
      </c>
    </row>
    <row r="14" spans="1:13" ht="15" customHeight="1" x14ac:dyDescent="0.25">
      <c r="A14" s="18" t="s">
        <v>141</v>
      </c>
      <c r="B14" s="21">
        <v>3</v>
      </c>
      <c r="C14" s="20" t="s">
        <v>142</v>
      </c>
    </row>
    <row r="15" spans="1:13" ht="15" customHeight="1" x14ac:dyDescent="0.25">
      <c r="A15" s="18" t="s">
        <v>143</v>
      </c>
      <c r="B15" s="19">
        <v>150000</v>
      </c>
      <c r="C15" s="20" t="s">
        <v>144</v>
      </c>
    </row>
    <row r="16" spans="1:13" ht="15" customHeight="1" x14ac:dyDescent="0.25">
      <c r="A16" s="18" t="s">
        <v>145</v>
      </c>
      <c r="B16" s="19">
        <v>15000000</v>
      </c>
      <c r="C16" s="20" t="s">
        <v>146</v>
      </c>
    </row>
    <row r="17" spans="1:3" ht="15" customHeight="1" x14ac:dyDescent="0.25">
      <c r="A17" s="18" t="s">
        <v>147</v>
      </c>
      <c r="B17" s="19">
        <v>1200</v>
      </c>
      <c r="C17" s="20" t="s">
        <v>148</v>
      </c>
    </row>
    <row r="18" spans="1:3" ht="15" customHeight="1" x14ac:dyDescent="0.25">
      <c r="A18" s="18" t="s">
        <v>149</v>
      </c>
      <c r="B18" s="13" t="s">
        <v>150</v>
      </c>
      <c r="C18" s="20" t="s">
        <v>151</v>
      </c>
    </row>
    <row r="19" spans="1:3" ht="15" customHeight="1" x14ac:dyDescent="0.25">
      <c r="A19" s="18" t="s">
        <v>152</v>
      </c>
      <c r="B19" s="13" t="s">
        <v>153</v>
      </c>
      <c r="C19" s="20" t="s">
        <v>154</v>
      </c>
    </row>
    <row r="20" spans="1:3" ht="15" customHeight="1" x14ac:dyDescent="0.25">
      <c r="A20" s="18" t="s">
        <v>155</v>
      </c>
      <c r="B20" s="22">
        <v>9</v>
      </c>
      <c r="C20" s="20" t="s">
        <v>156</v>
      </c>
    </row>
    <row r="22" spans="1:3" ht="15" customHeight="1" x14ac:dyDescent="0.25">
      <c r="A22" s="20" t="s">
        <v>157</v>
      </c>
    </row>
    <row r="23" spans="1:3" ht="15" customHeight="1" x14ac:dyDescent="0.25">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7109375" defaultRowHeight="15" x14ac:dyDescent="0.25"/>
  <cols>
    <col min="1" max="1" width="30" customWidth="1"/>
    <col min="2" max="4" width="42" customWidth="1"/>
  </cols>
  <sheetData>
    <row r="1" spans="1:4" ht="17.25" customHeight="1" x14ac:dyDescent="0.25">
      <c r="A1" s="1" t="s">
        <v>158</v>
      </c>
    </row>
    <row r="2" spans="1:4" ht="15" customHeight="1" x14ac:dyDescent="0.25">
      <c r="A2" s="2" t="s">
        <v>159</v>
      </c>
    </row>
    <row r="4" spans="1:4" ht="15" customHeight="1" x14ac:dyDescent="0.25">
      <c r="A4" s="9" t="s">
        <v>160</v>
      </c>
      <c r="B4" s="9" t="s">
        <v>161</v>
      </c>
      <c r="C4" s="9" t="s">
        <v>162</v>
      </c>
      <c r="D4" s="9" t="s">
        <v>163</v>
      </c>
    </row>
    <row r="5" spans="1:4" ht="48" customHeight="1" x14ac:dyDescent="0.25">
      <c r="A5" s="23" t="s">
        <v>164</v>
      </c>
      <c r="B5" s="7" t="s">
        <v>165</v>
      </c>
      <c r="C5" s="7" t="s">
        <v>166</v>
      </c>
      <c r="D5" s="7" t="s">
        <v>167</v>
      </c>
    </row>
    <row r="6" spans="1:4" ht="48" customHeight="1" x14ac:dyDescent="0.25">
      <c r="A6" s="23" t="s">
        <v>168</v>
      </c>
      <c r="B6" s="7" t="s">
        <v>169</v>
      </c>
      <c r="C6" s="7" t="s">
        <v>170</v>
      </c>
      <c r="D6" s="7" t="s">
        <v>171</v>
      </c>
    </row>
    <row r="7" spans="1:4" ht="48" customHeight="1" x14ac:dyDescent="0.25">
      <c r="A7" s="23" t="s">
        <v>51</v>
      </c>
      <c r="B7" s="7" t="s">
        <v>172</v>
      </c>
      <c r="C7" s="7" t="s">
        <v>173</v>
      </c>
      <c r="D7" s="7" t="s">
        <v>174</v>
      </c>
    </row>
    <row r="8" spans="1:4" ht="48" customHeight="1" x14ac:dyDescent="0.25">
      <c r="A8" s="23" t="s">
        <v>175</v>
      </c>
      <c r="B8" s="7" t="s">
        <v>176</v>
      </c>
      <c r="C8" s="7" t="s">
        <v>177</v>
      </c>
      <c r="D8" s="7" t="s">
        <v>178</v>
      </c>
    </row>
    <row r="9" spans="1:4" ht="48" customHeight="1" x14ac:dyDescent="0.25">
      <c r="A9" s="23" t="s">
        <v>179</v>
      </c>
      <c r="B9" s="7" t="s">
        <v>180</v>
      </c>
      <c r="C9" s="7" t="s">
        <v>181</v>
      </c>
      <c r="D9" s="7" t="s">
        <v>182</v>
      </c>
    </row>
    <row r="10" spans="1:4" ht="48" customHeight="1" x14ac:dyDescent="0.25">
      <c r="A10" s="23" t="s">
        <v>183</v>
      </c>
      <c r="B10" s="7" t="s">
        <v>184</v>
      </c>
      <c r="C10" s="7" t="s">
        <v>185</v>
      </c>
      <c r="D10" s="7" t="s">
        <v>186</v>
      </c>
    </row>
    <row r="11" spans="1:4" ht="48" customHeight="1" x14ac:dyDescent="0.25">
      <c r="A11" s="23" t="s">
        <v>187</v>
      </c>
      <c r="B11" s="7" t="s">
        <v>188</v>
      </c>
      <c r="C11" s="7" t="s">
        <v>189</v>
      </c>
      <c r="D11" s="7" t="s">
        <v>190</v>
      </c>
    </row>
    <row r="12" spans="1:4" ht="48" customHeight="1" x14ac:dyDescent="0.25">
      <c r="A12" s="23" t="s">
        <v>191</v>
      </c>
      <c r="B12" s="7" t="s">
        <v>192</v>
      </c>
      <c r="C12" s="7" t="s">
        <v>193</v>
      </c>
      <c r="D12" s="7" t="s">
        <v>194</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7109375" defaultRowHeight="15" x14ac:dyDescent="0.25"/>
  <cols>
    <col min="1" max="1" width="34" customWidth="1"/>
    <col min="2" max="3" width="40" customWidth="1"/>
    <col min="4" max="4" width="28" customWidth="1"/>
  </cols>
  <sheetData>
    <row r="1" spans="1:4" ht="17.25" customHeight="1" x14ac:dyDescent="0.25">
      <c r="A1" s="1" t="s">
        <v>195</v>
      </c>
    </row>
    <row r="2" spans="1:4" ht="15" customHeight="1" x14ac:dyDescent="0.25">
      <c r="A2" s="2" t="s">
        <v>196</v>
      </c>
    </row>
    <row r="4" spans="1:4" ht="15" customHeight="1" x14ac:dyDescent="0.25">
      <c r="A4" s="9" t="s">
        <v>197</v>
      </c>
      <c r="B4" s="9" t="s">
        <v>198</v>
      </c>
      <c r="C4" s="9" t="s">
        <v>199</v>
      </c>
      <c r="D4" s="9" t="s">
        <v>200</v>
      </c>
    </row>
    <row r="5" spans="1:4" ht="15" customHeight="1" x14ac:dyDescent="0.25">
      <c r="A5" s="7" t="s">
        <v>201</v>
      </c>
      <c r="B5" s="7" t="s">
        <v>202</v>
      </c>
      <c r="C5" s="7" t="s">
        <v>203</v>
      </c>
      <c r="D5" s="7" t="s">
        <v>204</v>
      </c>
    </row>
    <row r="6" spans="1:4" ht="15" customHeight="1" x14ac:dyDescent="0.25">
      <c r="A6" s="7" t="s">
        <v>205</v>
      </c>
      <c r="B6" s="7" t="s">
        <v>206</v>
      </c>
      <c r="C6" s="7" t="s">
        <v>207</v>
      </c>
      <c r="D6" s="7" t="s">
        <v>208</v>
      </c>
    </row>
    <row r="7" spans="1:4" ht="15" customHeight="1" x14ac:dyDescent="0.25">
      <c r="A7" s="7" t="s">
        <v>209</v>
      </c>
      <c r="B7" s="7" t="s">
        <v>210</v>
      </c>
      <c r="C7" s="7" t="s">
        <v>211</v>
      </c>
      <c r="D7" s="7" t="s">
        <v>212</v>
      </c>
    </row>
    <row r="8" spans="1:4" ht="15" customHeight="1" x14ac:dyDescent="0.25">
      <c r="A8" s="7" t="s">
        <v>213</v>
      </c>
      <c r="B8" s="7" t="s">
        <v>214</v>
      </c>
      <c r="C8" s="7" t="s">
        <v>215</v>
      </c>
      <c r="D8" s="7" t="s">
        <v>216</v>
      </c>
    </row>
    <row r="9" spans="1:4" ht="15" customHeight="1" x14ac:dyDescent="0.25">
      <c r="A9" s="7" t="s">
        <v>217</v>
      </c>
      <c r="B9" s="7" t="s">
        <v>218</v>
      </c>
      <c r="C9" s="7" t="s">
        <v>219</v>
      </c>
      <c r="D9" s="7" t="s">
        <v>220</v>
      </c>
    </row>
    <row r="10" spans="1:4" ht="15" customHeight="1" x14ac:dyDescent="0.25">
      <c r="A10" s="7" t="s">
        <v>221</v>
      </c>
      <c r="B10" s="7" t="s">
        <v>222</v>
      </c>
      <c r="C10" s="7" t="s">
        <v>223</v>
      </c>
      <c r="D10" s="7" t="s">
        <v>224</v>
      </c>
    </row>
    <row r="12" spans="1:4" ht="15" customHeight="1" x14ac:dyDescent="0.25">
      <c r="A12" s="20" t="s">
        <v>225</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7109375" defaultRowHeight="15" x14ac:dyDescent="0.25"/>
  <cols>
    <col min="1" max="1" width="32" customWidth="1"/>
    <col min="2" max="2" width="90" customWidth="1"/>
    <col min="3" max="3" width="8" customWidth="1"/>
    <col min="4" max="4" width="12" customWidth="1"/>
  </cols>
  <sheetData>
    <row r="1" spans="1:4" ht="17.25" customHeight="1" x14ac:dyDescent="0.25">
      <c r="A1" s="1" t="s">
        <v>226</v>
      </c>
    </row>
    <row r="2" spans="1:4" ht="15" customHeight="1" x14ac:dyDescent="0.25">
      <c r="A2" s="2" t="s">
        <v>227</v>
      </c>
    </row>
    <row r="3" spans="1:4" ht="15" customHeight="1" x14ac:dyDescent="0.25">
      <c r="C3" s="24" t="s">
        <v>228</v>
      </c>
      <c r="D3" s="24" t="s">
        <v>229</v>
      </c>
    </row>
    <row r="4" spans="1:4" ht="33.75" customHeight="1" x14ac:dyDescent="0.25">
      <c r="A4" s="24" t="s">
        <v>230</v>
      </c>
      <c r="B4" s="7" t="s">
        <v>231</v>
      </c>
      <c r="C4" s="25">
        <f>IF(TRIM(B4)="",0,LEN(TRIM(B4))-LEN(SUBSTITUTE(TRIM(B4)," ",""))+1)</f>
        <v>38</v>
      </c>
      <c r="D4" s="17" t="str">
        <f>IF(C4=0,"Trống",IF(C4&gt;60,"Quá 60 chữ","Đạt"))</f>
        <v>Đạt</v>
      </c>
    </row>
    <row r="5" spans="1:4" ht="33.75" customHeight="1" x14ac:dyDescent="0.25">
      <c r="A5" s="24" t="s">
        <v>232</v>
      </c>
      <c r="B5" s="7" t="s">
        <v>233</v>
      </c>
      <c r="C5" s="25">
        <f>IF(TRIM(B5)="",0,LEN(TRIM(B5))-LEN(SUBSTITUTE(TRIM(B5)," ",""))+1)</f>
        <v>36</v>
      </c>
      <c r="D5" s="17" t="str">
        <f>IF(C5=0,"Trống",IF(C5&gt;60,"Quá 60 chữ","Đạt"))</f>
        <v>Đạt</v>
      </c>
    </row>
    <row r="6" spans="1:4" ht="33.75" customHeight="1" x14ac:dyDescent="0.25">
      <c r="A6" s="24" t="s">
        <v>234</v>
      </c>
      <c r="B6" s="7" t="s">
        <v>235</v>
      </c>
      <c r="C6" s="25">
        <f>IF(TRIM(B6)="",0,LEN(TRIM(B6))-LEN(SUBSTITUTE(TRIM(B6)," ",""))+1)</f>
        <v>38</v>
      </c>
      <c r="D6" s="17" t="str">
        <f>IF(C6=0,"Trống",IF(C6&gt;60,"Quá 60 chữ","Đạt"))</f>
        <v>Đạt</v>
      </c>
    </row>
    <row r="7" spans="1:4" ht="33.75" customHeight="1" x14ac:dyDescent="0.25">
      <c r="A7" s="24" t="s">
        <v>236</v>
      </c>
      <c r="B7" s="7" t="s">
        <v>237</v>
      </c>
      <c r="C7" s="25">
        <f>IF(TRIM(B7)="",0,LEN(TRIM(B7))-LEN(SUBSTITUTE(TRIM(B7)," ",""))+1)</f>
        <v>42</v>
      </c>
      <c r="D7" s="17" t="str">
        <f>IF(C7=0,"Trống",IF(C7&gt;60,"Quá 60 chữ","Đạt"))</f>
        <v>Đạt</v>
      </c>
    </row>
    <row r="8" spans="1:4" ht="33.75" customHeight="1" x14ac:dyDescent="0.25">
      <c r="A8" s="24" t="s">
        <v>238</v>
      </c>
      <c r="B8" s="7" t="s">
        <v>239</v>
      </c>
      <c r="C8" s="25">
        <f>IF(TRIM(B8)="",0,LEN(TRIM(B8))-LEN(SUBSTITUTE(TRIM(B8)," ",""))+1)</f>
        <v>42</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7109375" defaultRowHeight="15" x14ac:dyDescent="0.25"/>
  <cols>
    <col min="1" max="1" width="66" customWidth="1"/>
    <col min="2" max="3" width="14" customWidth="1"/>
  </cols>
  <sheetData>
    <row r="1" spans="1:3" ht="17.25" customHeight="1" x14ac:dyDescent="0.25">
      <c r="A1" s="1" t="s">
        <v>240</v>
      </c>
    </row>
    <row r="2" spans="1:3" ht="15" customHeight="1" x14ac:dyDescent="0.25">
      <c r="A2" s="2" t="s">
        <v>241</v>
      </c>
    </row>
    <row r="4" spans="1:3" ht="15" customHeight="1" x14ac:dyDescent="0.25">
      <c r="A4" s="9" t="s">
        <v>242</v>
      </c>
      <c r="B4" s="9" t="s">
        <v>243</v>
      </c>
      <c r="C4" s="9" t="s">
        <v>229</v>
      </c>
    </row>
    <row r="5" spans="1:3" ht="15" customHeight="1" x14ac:dyDescent="0.25">
      <c r="A5" s="10" t="s">
        <v>244</v>
      </c>
      <c r="B5" s="11">
        <f>COUNT('1_Danh sách việc'!M5:M14)</f>
        <v>6</v>
      </c>
      <c r="C5" s="11" t="str">
        <f>IF(B5&gt;=5,"Đạt","Xem lại")</f>
        <v>Đạt</v>
      </c>
    </row>
    <row r="6" spans="1:3" ht="15" customHeight="1" x14ac:dyDescent="0.25">
      <c r="A6" s="10" t="s">
        <v>245</v>
      </c>
      <c r="B6" s="11">
        <f>COUNTIFS('1_Danh sách việc'!O5:O14,"Thiếu",'1_Danh sách việc'!P5:P14,"&lt;&gt;Không làm")</f>
        <v>0</v>
      </c>
      <c r="C6" s="11" t="str">
        <f>IF(B5=0,"",IF(B6=0,"Đạt","Xem lại"))</f>
        <v>Đạt</v>
      </c>
    </row>
    <row r="7" spans="1:3" ht="15" customHeight="1" x14ac:dyDescent="0.25">
      <c r="A7" s="10" t="s">
        <v>246</v>
      </c>
      <c r="B7" s="11">
        <f>COUNTIF('2_Mức tự động'!M6:M8,"Có")</f>
        <v>3</v>
      </c>
      <c r="C7" s="11" t="str">
        <f>IF(B7&gt;=2,"Đạt","Xem lại")</f>
        <v>Đạt</v>
      </c>
    </row>
    <row r="8" spans="1:3" ht="15" customHeight="1" x14ac:dyDescent="0.25">
      <c r="A8" s="10" t="s">
        <v>247</v>
      </c>
      <c r="B8" s="11">
        <f>COUNTA('3_Bảng lộ trình'!B5:B12)</f>
        <v>8</v>
      </c>
      <c r="C8" s="11" t="str">
        <f>IF(B8=8,"Đạt","Xem lại")</f>
        <v>Đạt</v>
      </c>
    </row>
    <row r="9" spans="1:3" ht="15" customHeight="1" x14ac:dyDescent="0.25">
      <c r="A9" s="10" t="s">
        <v>248</v>
      </c>
      <c r="B9" s="11" t="str">
        <f>IF(AND(LEN('3_Bảng lộ trình'!B12)&gt;10,SUMPRODUCT(--ISNUMBER(SEARCH({"0","1","2","3","4","5","6","7","8","9"},'3_Bảng lộ trình'!B12)))&gt;0),"Có","Chưa")</f>
        <v>Có</v>
      </c>
      <c r="C9" s="11" t="str">
        <f>IF(B9="Có","Đạt","Xem lại")</f>
        <v>Đạt</v>
      </c>
    </row>
    <row r="10" spans="1:3" ht="15" customHeight="1" x14ac:dyDescent="0.25">
      <c r="A10" s="10" t="s">
        <v>249</v>
      </c>
      <c r="B10" s="11" t="str">
        <f>IF(AND(LEN('3_Bảng lộ trình'!B11)&gt;10,SUMPRODUCT(--ISNUMBER(SEARCH({"0","1","2","3","4","5","6","7","8","9"},'3_Bảng lộ trình'!B11)))&gt;0),"Có","Chưa")</f>
        <v>Có</v>
      </c>
      <c r="C10" s="11" t="str">
        <f>IF(B10="Có","Đạt","Xem lại")</f>
        <v>Đạt</v>
      </c>
    </row>
    <row r="11" spans="1:3" ht="15" customHeight="1" x14ac:dyDescent="0.25">
      <c r="A11" s="10" t="s">
        <v>250</v>
      </c>
      <c r="B11" s="11">
        <f>COUNTIF('5_Slide lãnh đạo'!D4:D8,"Đạt")</f>
        <v>5</v>
      </c>
      <c r="C11" s="11" t="str">
        <f>IF(B11=5,"Đạt","Xem lại")</f>
        <v>Đạt</v>
      </c>
    </row>
    <row r="12" spans="1:3" ht="15" customHeight="1" x14ac:dyDescent="0.25">
      <c r="A12" s="10" t="s">
        <v>251</v>
      </c>
      <c r="B12" s="11">
        <f>COUNTIF('2_Mức tự động'!L5:L8,"Đạt")</f>
        <v>1</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7109375" defaultRowHeight="15" x14ac:dyDescent="0.25"/>
  <cols>
    <col min="1" max="1" width="32" customWidth="1"/>
    <col min="2" max="2" width="30" customWidth="1"/>
    <col min="3" max="3" width="80" customWidth="1"/>
    <col min="4" max="4" width="40" customWidth="1"/>
  </cols>
  <sheetData>
    <row r="1" spans="1:4" ht="17.25" customHeight="1" x14ac:dyDescent="0.25">
      <c r="A1" s="1" t="s">
        <v>252</v>
      </c>
    </row>
    <row r="2" spans="1:4" ht="15" customHeight="1" x14ac:dyDescent="0.25">
      <c r="A2" s="2"/>
    </row>
    <row r="4" spans="1:4" ht="15" customHeight="1" x14ac:dyDescent="0.25">
      <c r="A4" s="9" t="s">
        <v>253</v>
      </c>
      <c r="B4" s="9" t="s">
        <v>254</v>
      </c>
      <c r="C4" s="9" t="s">
        <v>255</v>
      </c>
      <c r="D4" s="9" t="s">
        <v>256</v>
      </c>
    </row>
    <row r="5" spans="1:4" ht="15" customHeight="1" x14ac:dyDescent="0.25">
      <c r="A5" s="10" t="s">
        <v>257</v>
      </c>
      <c r="B5">
        <v>20</v>
      </c>
      <c r="C5" s="26" t="s">
        <v>258</v>
      </c>
      <c r="D5" s="27">
        <v>20</v>
      </c>
    </row>
    <row r="6" spans="1:4" ht="15" customHeight="1" x14ac:dyDescent="0.25">
      <c r="A6" s="10" t="s">
        <v>259</v>
      </c>
      <c r="B6">
        <v>20</v>
      </c>
      <c r="C6" s="26" t="s">
        <v>260</v>
      </c>
      <c r="D6" s="27">
        <v>20</v>
      </c>
    </row>
    <row r="7" spans="1:4" ht="15" customHeight="1" x14ac:dyDescent="0.25">
      <c r="A7" s="10" t="s">
        <v>261</v>
      </c>
      <c r="B7">
        <v>25</v>
      </c>
      <c r="C7" s="26" t="s">
        <v>262</v>
      </c>
      <c r="D7" s="27">
        <v>25</v>
      </c>
    </row>
    <row r="8" spans="1:4" ht="15" customHeight="1" x14ac:dyDescent="0.25">
      <c r="A8" s="10" t="s">
        <v>263</v>
      </c>
      <c r="B8">
        <v>15</v>
      </c>
      <c r="C8" s="26" t="s">
        <v>264</v>
      </c>
      <c r="D8" s="27">
        <v>15</v>
      </c>
    </row>
    <row r="9" spans="1:4" ht="15" customHeight="1" x14ac:dyDescent="0.25">
      <c r="A9" s="10" t="s">
        <v>265</v>
      </c>
      <c r="B9">
        <v>20</v>
      </c>
      <c r="C9" s="26" t="s">
        <v>266</v>
      </c>
      <c r="D9" s="27">
        <v>20</v>
      </c>
    </row>
    <row r="10" spans="1:4" ht="15" customHeight="1" x14ac:dyDescent="0.25">
      <c r="A10" s="8" t="s">
        <v>267</v>
      </c>
      <c r="B10">
        <f>SUM(B5:B9)</f>
        <v>100</v>
      </c>
      <c r="D10" s="11">
        <f>SUM(D5:D9)</f>
        <v>100</v>
      </c>
    </row>
    <row r="12" spans="1:4" ht="15" customHeight="1" x14ac:dyDescent="0.25">
      <c r="A12" s="8"/>
      <c r="D12" s="27"/>
    </row>
    <row r="15" spans="1:4" ht="15" customHeight="1" x14ac:dyDescent="0.25">
      <c r="A15" s="28" t="s">
        <v>268</v>
      </c>
    </row>
    <row r="16" spans="1:4" ht="15" customHeight="1" x14ac:dyDescent="0.25">
      <c r="A16" s="9" t="s">
        <v>253</v>
      </c>
      <c r="B16" s="9" t="s">
        <v>269</v>
      </c>
      <c r="C16" s="9" t="s">
        <v>270</v>
      </c>
      <c r="D16" s="9" t="s">
        <v>271</v>
      </c>
    </row>
    <row r="17" spans="1:4" ht="45.75" customHeight="1" x14ac:dyDescent="0.25">
      <c r="A17" s="29" t="s">
        <v>272</v>
      </c>
      <c r="B17" s="30" t="s">
        <v>273</v>
      </c>
      <c r="C17" s="30" t="s">
        <v>274</v>
      </c>
      <c r="D17" s="30" t="s">
        <v>275</v>
      </c>
    </row>
    <row r="18" spans="1:4" ht="45.75" customHeight="1" x14ac:dyDescent="0.25">
      <c r="A18" s="29" t="s">
        <v>276</v>
      </c>
      <c r="B18" s="30" t="s">
        <v>277</v>
      </c>
      <c r="C18" s="30" t="s">
        <v>278</v>
      </c>
      <c r="D18" s="30" t="s">
        <v>279</v>
      </c>
    </row>
    <row r="19" spans="1:4" ht="45.75" customHeight="1" x14ac:dyDescent="0.25">
      <c r="A19" s="29" t="s">
        <v>280</v>
      </c>
      <c r="B19" s="30" t="s">
        <v>281</v>
      </c>
      <c r="C19" s="30" t="s">
        <v>282</v>
      </c>
      <c r="D19" s="30" t="s">
        <v>283</v>
      </c>
    </row>
    <row r="20" spans="1:4" ht="45.75" customHeight="1" x14ac:dyDescent="0.25">
      <c r="A20" s="29" t="s">
        <v>284</v>
      </c>
      <c r="B20" s="30" t="s">
        <v>285</v>
      </c>
      <c r="C20" s="30" t="s">
        <v>286</v>
      </c>
      <c r="D20" s="30" t="s">
        <v>287</v>
      </c>
    </row>
    <row r="22" spans="1:4" ht="15" customHeight="1" x14ac:dyDescent="0.25">
      <c r="A22" s="20" t="s">
        <v>288</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hải store342</cp:lastModifiedBy>
  <cp:revision>0</cp:revision>
  <dcterms:created xsi:type="dcterms:W3CDTF">2026-10-04T05:24:07Z</dcterms:created>
  <dcterms:modified xsi:type="dcterms:W3CDTF">2026-10-16T05:49:00Z</dcterms:modified>
  <dc:language>en-US</dc:language>
</cp:coreProperties>
</file>